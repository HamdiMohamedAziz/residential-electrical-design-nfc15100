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2807ED0-FD2D-4A95-A136-B6CEB787B93C}" xr6:coauthVersionLast="47" xr6:coauthVersionMax="47" xr10:uidLastSave="{00000000-0000-0000-0000-000000000000}"/>
  <bookViews>
    <workbookView xWindow="-115" yWindow="-115" windowWidth="24697" windowHeight="13266" xr2:uid="{82E0BA15-5186-4F81-A913-A3D2448634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D23" i="1"/>
  <c r="F23" i="1"/>
  <c r="D22" i="1"/>
  <c r="F22" i="1" s="1"/>
  <c r="D21" i="1"/>
  <c r="F21" i="1" s="1"/>
  <c r="D18" i="1"/>
  <c r="F18" i="1" s="1"/>
  <c r="D19" i="1"/>
  <c r="F19" i="1" s="1"/>
  <c r="D20" i="1"/>
  <c r="F20" i="1" s="1"/>
  <c r="H4" i="1"/>
  <c r="H5" i="1"/>
  <c r="H6" i="1"/>
  <c r="H7" i="1"/>
  <c r="H16" i="1"/>
  <c r="H3" i="1"/>
  <c r="G4" i="1"/>
  <c r="G5" i="1"/>
  <c r="G6" i="1"/>
  <c r="G7" i="1"/>
  <c r="G8" i="1"/>
  <c r="G3" i="1"/>
  <c r="D4" i="1"/>
  <c r="F4" i="1" s="1"/>
  <c r="D5" i="1"/>
  <c r="F5" i="1" s="1"/>
  <c r="D6" i="1"/>
  <c r="F6" i="1" s="1"/>
  <c r="D7" i="1"/>
  <c r="F7" i="1" s="1"/>
  <c r="D8" i="1"/>
  <c r="F8" i="1" s="1"/>
  <c r="H8" i="1" s="1"/>
  <c r="D9" i="1"/>
  <c r="F9" i="1" s="1"/>
  <c r="H9" i="1" s="1"/>
  <c r="D10" i="1"/>
  <c r="F10" i="1" s="1"/>
  <c r="H10" i="1" s="1"/>
  <c r="D11" i="1"/>
  <c r="F11" i="1" s="1"/>
  <c r="H11" i="1" s="1"/>
  <c r="D12" i="1"/>
  <c r="F12" i="1" s="1"/>
  <c r="H12" i="1" s="1"/>
  <c r="D13" i="1"/>
  <c r="F13" i="1" s="1"/>
  <c r="H13" i="1" s="1"/>
  <c r="D14" i="1"/>
  <c r="F14" i="1" s="1"/>
  <c r="H14" i="1" s="1"/>
  <c r="D15" i="1"/>
  <c r="F15" i="1" s="1"/>
  <c r="H15" i="1" s="1"/>
  <c r="D16" i="1"/>
  <c r="F16" i="1" s="1"/>
  <c r="D3" i="1"/>
  <c r="F3" i="1" s="1"/>
  <c r="I3" i="1" l="1"/>
  <c r="K3" i="1" s="1"/>
  <c r="M3" i="1" s="1"/>
</calcChain>
</file>

<file path=xl/sharedStrings.xml><?xml version="1.0" encoding="utf-8"?>
<sst xmlns="http://schemas.openxmlformats.org/spreadsheetml/2006/main" count="34" uniqueCount="34">
  <si>
    <t>Cricuit 1 prises</t>
  </si>
  <si>
    <t>Cricuit 2 prises</t>
  </si>
  <si>
    <t>Cricuit 3 prises</t>
  </si>
  <si>
    <t>Cricuit 4 prises</t>
  </si>
  <si>
    <t>Cricuit 5 prises</t>
  </si>
  <si>
    <t>Cricuit 6 prises</t>
  </si>
  <si>
    <t>Circuit Climatiseur 1</t>
  </si>
  <si>
    <t>Circuit Climatiseur 2</t>
  </si>
  <si>
    <t>Cicuit Volet Roulant 1</t>
  </si>
  <si>
    <t>Cicuit Volet Roulant 2</t>
  </si>
  <si>
    <t>Hotte</t>
  </si>
  <si>
    <t>Coef Ku</t>
  </si>
  <si>
    <t>Puissance 
d'utilisation</t>
  </si>
  <si>
    <t xml:space="preserve">Puissance Unitaire
(W) </t>
  </si>
  <si>
    <t xml:space="preserve">Puissance Installé
(W) </t>
  </si>
  <si>
    <t xml:space="preserve">Coef de
 simultanéité Ks </t>
  </si>
  <si>
    <t>Puissance Totale
(W)</t>
  </si>
  <si>
    <t>Puissance Totale après Ks
(W)</t>
  </si>
  <si>
    <t>Appareils</t>
  </si>
  <si>
    <t xml:space="preserve">Applique Murale </t>
  </si>
  <si>
    <t xml:space="preserve">          Spot LED</t>
  </si>
  <si>
    <t>Coef de
 simultanéité Ks Tableau</t>
  </si>
  <si>
    <t>Puissance Totale 
(W)</t>
  </si>
  <si>
    <t>Four</t>
  </si>
  <si>
    <t xml:space="preserve">Puissance d'utilisation
 de chaque circuit </t>
  </si>
  <si>
    <t>Coef de
 reserve 20%</t>
  </si>
  <si>
    <t>Lampe d'éclairage de
 sécurité</t>
  </si>
  <si>
    <t>Lave Linge</t>
  </si>
  <si>
    <t>Lave Vaisselle</t>
  </si>
  <si>
    <t>Tube Néon LED</t>
  </si>
  <si>
    <t>Luminaire Multilampe</t>
  </si>
  <si>
    <t>Circuit d'Eclérage :</t>
  </si>
  <si>
    <t>Nombre d'appreils</t>
  </si>
  <si>
    <t>Lampe de lustre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</si>
</sst>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EAF1DD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4D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0" fontId="1" fillId="2" borderId="2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9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7" borderId="2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top" wrapText="1"/>
    </xf>
    <xf numFmtId="0" fontId="1" fillId="8" borderId="2" xfId="0" applyFont="1" applyFill="1" applyBorder="1"/>
    <xf numFmtId="0" fontId="1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A1EC-4029-4AB2-AB9C-1C6ED9915424}">
  <dimension ref="A1:M23"/>
  <sheetViews>
    <sheetView tabSelected="1" workbookViewId="0">
      <selection activeCell="F13" sqref="F13"/>
    </sheetView>
  </sheetViews>
  <sheetFormatPr baseColWidth="10" defaultRowHeight="14.65" x14ac:dyDescent="0.3"/>
  <cols>
    <col min="1" max="1" width="20.5546875" customWidth="1"/>
    <col min="2" max="2" width="16.109375" customWidth="1"/>
    <col min="3" max="3" width="15.5546875" customWidth="1"/>
    <col min="4" max="4" width="15" customWidth="1"/>
    <col min="8" max="8" width="17.88671875" customWidth="1"/>
    <col min="9" max="9" width="14.5546875" customWidth="1"/>
    <col min="11" max="11" width="15.109375" customWidth="1"/>
    <col min="13" max="13" width="15" customWidth="1"/>
  </cols>
  <sheetData>
    <row r="1" spans="1:13" ht="59.3" customHeight="1" x14ac:dyDescent="0.3">
      <c r="A1" s="7" t="s">
        <v>18</v>
      </c>
      <c r="B1" s="7" t="s">
        <v>32</v>
      </c>
      <c r="C1" s="9" t="s">
        <v>13</v>
      </c>
      <c r="D1" s="9" t="s">
        <v>14</v>
      </c>
      <c r="E1" s="21" t="s">
        <v>11</v>
      </c>
      <c r="F1" s="8" t="s">
        <v>12</v>
      </c>
      <c r="G1" s="9" t="s">
        <v>15</v>
      </c>
      <c r="H1" s="9" t="s">
        <v>24</v>
      </c>
      <c r="I1" s="9" t="s">
        <v>16</v>
      </c>
      <c r="J1" s="9" t="s">
        <v>21</v>
      </c>
      <c r="K1" s="9" t="s">
        <v>17</v>
      </c>
      <c r="L1" s="9" t="s">
        <v>25</v>
      </c>
      <c r="M1" s="9" t="s">
        <v>22</v>
      </c>
    </row>
    <row r="2" spans="1:13" x14ac:dyDescent="0.3">
      <c r="A2" s="1"/>
      <c r="C2" s="1"/>
    </row>
    <row r="3" spans="1:13" ht="15.95" x14ac:dyDescent="0.3">
      <c r="A3" s="2" t="s">
        <v>0</v>
      </c>
      <c r="B3" s="3">
        <v>6</v>
      </c>
      <c r="C3" s="5">
        <v>200</v>
      </c>
      <c r="D3" s="6">
        <f>C3*B3</f>
        <v>1200</v>
      </c>
      <c r="E3" s="6">
        <v>1</v>
      </c>
      <c r="F3" s="6">
        <f>D3*E3</f>
        <v>1200</v>
      </c>
      <c r="G3" s="6">
        <f>0.1+0.9/B3</f>
        <v>0.25</v>
      </c>
      <c r="H3" s="6">
        <f>F3*G3</f>
        <v>300</v>
      </c>
      <c r="I3" s="17">
        <f>SUM(H3:H17)</f>
        <v>12818</v>
      </c>
      <c r="J3" s="17">
        <v>0.6</v>
      </c>
      <c r="K3" s="18">
        <f>I3*J3</f>
        <v>7690.7999999999993</v>
      </c>
      <c r="L3" s="15">
        <v>1.2</v>
      </c>
      <c r="M3" s="16">
        <f>L3*K3</f>
        <v>9228.9599999999991</v>
      </c>
    </row>
    <row r="4" spans="1:13" ht="15.95" x14ac:dyDescent="0.3">
      <c r="A4" s="2" t="s">
        <v>1</v>
      </c>
      <c r="B4" s="3">
        <v>7</v>
      </c>
      <c r="C4" s="5">
        <v>200</v>
      </c>
      <c r="D4" s="6">
        <f t="shared" ref="D4:D17" si="0">C4*B4</f>
        <v>1400</v>
      </c>
      <c r="E4" s="6">
        <v>1</v>
      </c>
      <c r="F4" s="6">
        <f t="shared" ref="F4:F22" si="1">D4*E4</f>
        <v>1400</v>
      </c>
      <c r="G4" s="6">
        <f t="shared" ref="G4:G8" si="2">0.1+0.9/B4</f>
        <v>0.22857142857142859</v>
      </c>
      <c r="H4" s="6">
        <f t="shared" ref="H4:H17" si="3">F4*G4</f>
        <v>320.00000000000006</v>
      </c>
      <c r="I4" s="17"/>
      <c r="J4" s="17"/>
      <c r="K4" s="18"/>
      <c r="L4" s="15"/>
      <c r="M4" s="16"/>
    </row>
    <row r="5" spans="1:13" ht="15.95" x14ac:dyDescent="0.3">
      <c r="A5" s="2" t="s">
        <v>2</v>
      </c>
      <c r="B5" s="3">
        <v>3</v>
      </c>
      <c r="C5" s="5">
        <v>200</v>
      </c>
      <c r="D5" s="6">
        <f t="shared" si="0"/>
        <v>600</v>
      </c>
      <c r="E5" s="6">
        <v>1</v>
      </c>
      <c r="F5" s="6">
        <f t="shared" si="1"/>
        <v>600</v>
      </c>
      <c r="G5" s="6">
        <f t="shared" si="2"/>
        <v>0.4</v>
      </c>
      <c r="H5" s="6">
        <f t="shared" si="3"/>
        <v>240</v>
      </c>
      <c r="I5" s="17"/>
      <c r="J5" s="17"/>
      <c r="K5" s="18"/>
      <c r="L5" s="15"/>
      <c r="M5" s="16"/>
    </row>
    <row r="6" spans="1:13" ht="15.95" x14ac:dyDescent="0.3">
      <c r="A6" s="2" t="s">
        <v>3</v>
      </c>
      <c r="B6" s="4">
        <v>4</v>
      </c>
      <c r="C6" s="5">
        <v>200</v>
      </c>
      <c r="D6" s="6">
        <f t="shared" si="0"/>
        <v>800</v>
      </c>
      <c r="E6" s="6">
        <v>1</v>
      </c>
      <c r="F6" s="6">
        <f t="shared" si="1"/>
        <v>800</v>
      </c>
      <c r="G6" s="6">
        <f t="shared" si="2"/>
        <v>0.32500000000000001</v>
      </c>
      <c r="H6" s="6">
        <f t="shared" si="3"/>
        <v>260</v>
      </c>
      <c r="I6" s="17"/>
      <c r="J6" s="17"/>
      <c r="K6" s="18"/>
      <c r="L6" s="15"/>
      <c r="M6" s="16"/>
    </row>
    <row r="7" spans="1:13" ht="15.95" x14ac:dyDescent="0.3">
      <c r="A7" s="2" t="s">
        <v>4</v>
      </c>
      <c r="B7" s="4">
        <v>4</v>
      </c>
      <c r="C7" s="5">
        <v>200</v>
      </c>
      <c r="D7" s="6">
        <f t="shared" si="0"/>
        <v>800</v>
      </c>
      <c r="E7" s="6">
        <v>1</v>
      </c>
      <c r="F7" s="6">
        <f t="shared" si="1"/>
        <v>800</v>
      </c>
      <c r="G7" s="6">
        <f t="shared" si="2"/>
        <v>0.32500000000000001</v>
      </c>
      <c r="H7" s="6">
        <f t="shared" si="3"/>
        <v>260</v>
      </c>
      <c r="I7" s="17"/>
      <c r="J7" s="17"/>
      <c r="K7" s="18"/>
      <c r="L7" s="15"/>
      <c r="M7" s="16"/>
    </row>
    <row r="8" spans="1:13" ht="15.95" x14ac:dyDescent="0.3">
      <c r="A8" s="2" t="s">
        <v>5</v>
      </c>
      <c r="B8" s="4">
        <v>4</v>
      </c>
      <c r="C8" s="5">
        <v>200</v>
      </c>
      <c r="D8" s="6">
        <f t="shared" si="0"/>
        <v>800</v>
      </c>
      <c r="E8" s="6">
        <v>1</v>
      </c>
      <c r="F8" s="6">
        <f t="shared" si="1"/>
        <v>800</v>
      </c>
      <c r="G8" s="6">
        <f t="shared" si="2"/>
        <v>0.32500000000000001</v>
      </c>
      <c r="H8" s="6">
        <f t="shared" si="3"/>
        <v>260</v>
      </c>
      <c r="I8" s="17"/>
      <c r="J8" s="17"/>
      <c r="K8" s="18"/>
      <c r="L8" s="15"/>
      <c r="M8" s="16"/>
    </row>
    <row r="9" spans="1:13" ht="15.95" x14ac:dyDescent="0.3">
      <c r="A9" s="27" t="s">
        <v>6</v>
      </c>
      <c r="B9" s="3">
        <v>1</v>
      </c>
      <c r="C9" s="5">
        <v>2000</v>
      </c>
      <c r="D9" s="6">
        <f t="shared" si="0"/>
        <v>2000</v>
      </c>
      <c r="E9" s="6">
        <v>0.75</v>
      </c>
      <c r="F9" s="6">
        <f t="shared" si="1"/>
        <v>1500</v>
      </c>
      <c r="G9" s="6">
        <v>1</v>
      </c>
      <c r="H9" s="6">
        <f t="shared" si="3"/>
        <v>1500</v>
      </c>
      <c r="I9" s="17"/>
      <c r="J9" s="17"/>
      <c r="K9" s="18"/>
      <c r="L9" s="15"/>
      <c r="M9" s="16"/>
    </row>
    <row r="10" spans="1:13" ht="15.95" x14ac:dyDescent="0.3">
      <c r="A10" s="27" t="s">
        <v>7</v>
      </c>
      <c r="B10" s="3">
        <v>1</v>
      </c>
      <c r="C10" s="5">
        <v>2000</v>
      </c>
      <c r="D10" s="6">
        <f t="shared" si="0"/>
        <v>2000</v>
      </c>
      <c r="E10" s="6">
        <v>0.75</v>
      </c>
      <c r="F10" s="6">
        <f t="shared" si="1"/>
        <v>1500</v>
      </c>
      <c r="G10" s="6">
        <v>1</v>
      </c>
      <c r="H10" s="6">
        <f t="shared" si="3"/>
        <v>1500</v>
      </c>
      <c r="I10" s="17"/>
      <c r="J10" s="17"/>
      <c r="K10" s="18"/>
      <c r="L10" s="15"/>
      <c r="M10" s="16"/>
    </row>
    <row r="11" spans="1:13" ht="15.95" x14ac:dyDescent="0.3">
      <c r="A11" s="27" t="s">
        <v>8</v>
      </c>
      <c r="B11" s="3">
        <v>3</v>
      </c>
      <c r="C11" s="5">
        <v>200</v>
      </c>
      <c r="D11" s="6">
        <f t="shared" si="0"/>
        <v>600</v>
      </c>
      <c r="E11" s="6">
        <v>0.75</v>
      </c>
      <c r="F11" s="6">
        <f t="shared" si="1"/>
        <v>450</v>
      </c>
      <c r="G11" s="6">
        <v>0.9</v>
      </c>
      <c r="H11" s="6">
        <f t="shared" si="3"/>
        <v>405</v>
      </c>
      <c r="I11" s="17"/>
      <c r="J11" s="17"/>
      <c r="K11" s="18"/>
      <c r="L11" s="15"/>
      <c r="M11" s="16"/>
    </row>
    <row r="12" spans="1:13" ht="15.95" x14ac:dyDescent="0.3">
      <c r="A12" s="27" t="s">
        <v>9</v>
      </c>
      <c r="B12" s="3">
        <v>3</v>
      </c>
      <c r="C12" s="5">
        <v>200</v>
      </c>
      <c r="D12" s="6">
        <f t="shared" si="0"/>
        <v>600</v>
      </c>
      <c r="E12" s="6">
        <v>0.75</v>
      </c>
      <c r="F12" s="6">
        <f t="shared" si="1"/>
        <v>450</v>
      </c>
      <c r="G12" s="6">
        <v>0.9</v>
      </c>
      <c r="H12" s="6">
        <f t="shared" si="3"/>
        <v>405</v>
      </c>
      <c r="I12" s="17"/>
      <c r="J12" s="17"/>
      <c r="K12" s="18"/>
      <c r="L12" s="15"/>
      <c r="M12" s="16"/>
    </row>
    <row r="13" spans="1:13" ht="15.95" x14ac:dyDescent="0.3">
      <c r="A13" s="27" t="s">
        <v>23</v>
      </c>
      <c r="B13" s="3">
        <v>1</v>
      </c>
      <c r="C13" s="5">
        <v>2000</v>
      </c>
      <c r="D13" s="6">
        <f t="shared" si="0"/>
        <v>2000</v>
      </c>
      <c r="E13" s="6">
        <v>1</v>
      </c>
      <c r="F13" s="6">
        <f t="shared" si="1"/>
        <v>2000</v>
      </c>
      <c r="G13" s="6">
        <v>1</v>
      </c>
      <c r="H13" s="6">
        <f t="shared" si="3"/>
        <v>2000</v>
      </c>
      <c r="I13" s="17"/>
      <c r="J13" s="17"/>
      <c r="K13" s="18"/>
      <c r="L13" s="15"/>
      <c r="M13" s="16"/>
    </row>
    <row r="14" spans="1:13" ht="15.95" x14ac:dyDescent="0.3">
      <c r="A14" s="27" t="s">
        <v>10</v>
      </c>
      <c r="B14" s="3">
        <v>1</v>
      </c>
      <c r="C14" s="5">
        <v>250</v>
      </c>
      <c r="D14" s="6">
        <f t="shared" si="0"/>
        <v>250</v>
      </c>
      <c r="E14" s="6">
        <v>1</v>
      </c>
      <c r="F14" s="6">
        <f t="shared" si="1"/>
        <v>250</v>
      </c>
      <c r="G14" s="6">
        <v>1</v>
      </c>
      <c r="H14" s="6">
        <f t="shared" si="3"/>
        <v>250</v>
      </c>
      <c r="I14" s="17"/>
      <c r="J14" s="17"/>
      <c r="K14" s="18"/>
      <c r="L14" s="15"/>
      <c r="M14" s="16"/>
    </row>
    <row r="15" spans="1:13" ht="15.95" x14ac:dyDescent="0.3">
      <c r="A15" s="27" t="s">
        <v>27</v>
      </c>
      <c r="B15" s="3">
        <v>1</v>
      </c>
      <c r="C15" s="5">
        <v>2500</v>
      </c>
      <c r="D15" s="6">
        <f t="shared" si="0"/>
        <v>2500</v>
      </c>
      <c r="E15" s="6">
        <v>1</v>
      </c>
      <c r="F15" s="6">
        <f t="shared" si="1"/>
        <v>2500</v>
      </c>
      <c r="G15" s="6">
        <v>1</v>
      </c>
      <c r="H15" s="6">
        <f t="shared" si="3"/>
        <v>2500</v>
      </c>
      <c r="I15" s="17"/>
      <c r="J15" s="17"/>
      <c r="K15" s="18"/>
      <c r="L15" s="15"/>
      <c r="M15" s="16"/>
    </row>
    <row r="16" spans="1:13" ht="15.95" x14ac:dyDescent="0.3">
      <c r="A16" s="27" t="s">
        <v>28</v>
      </c>
      <c r="B16" s="3">
        <v>1</v>
      </c>
      <c r="C16" s="5">
        <v>2000</v>
      </c>
      <c r="D16" s="6">
        <f t="shared" si="0"/>
        <v>2000</v>
      </c>
      <c r="E16" s="6">
        <v>1</v>
      </c>
      <c r="F16" s="6">
        <f t="shared" si="1"/>
        <v>2000</v>
      </c>
      <c r="G16" s="6">
        <v>1</v>
      </c>
      <c r="H16" s="6">
        <f t="shared" si="3"/>
        <v>2000</v>
      </c>
      <c r="I16" s="17"/>
      <c r="J16" s="17"/>
      <c r="K16" s="18"/>
      <c r="L16" s="15"/>
      <c r="M16" s="16"/>
    </row>
    <row r="17" spans="1:13" ht="15.95" x14ac:dyDescent="0.3">
      <c r="A17" s="22" t="s">
        <v>31</v>
      </c>
      <c r="B17" s="10"/>
      <c r="C17" s="11"/>
      <c r="D17" s="11"/>
      <c r="E17" s="11"/>
      <c r="F17" s="11"/>
      <c r="G17" s="11"/>
      <c r="H17" s="17">
        <f>SUM(F18:F23)</f>
        <v>618</v>
      </c>
      <c r="I17" s="17"/>
      <c r="J17" s="17"/>
      <c r="K17" s="18"/>
      <c r="L17" s="15"/>
      <c r="M17" s="16"/>
    </row>
    <row r="18" spans="1:13" ht="15.95" x14ac:dyDescent="0.3">
      <c r="A18" s="23" t="s">
        <v>20</v>
      </c>
      <c r="B18" s="3">
        <v>53</v>
      </c>
      <c r="C18" s="6">
        <v>6</v>
      </c>
      <c r="D18" s="6">
        <f t="shared" ref="D18:D21" si="4">C18*B18</f>
        <v>318</v>
      </c>
      <c r="E18" s="6">
        <v>1</v>
      </c>
      <c r="F18" s="6">
        <f>D18*E18</f>
        <v>318</v>
      </c>
      <c r="G18" s="12">
        <v>1</v>
      </c>
      <c r="H18" s="17"/>
      <c r="I18" s="17"/>
      <c r="J18" s="17"/>
      <c r="K18" s="18"/>
      <c r="L18" s="15"/>
      <c r="M18" s="16"/>
    </row>
    <row r="19" spans="1:13" ht="15.95" x14ac:dyDescent="0.3">
      <c r="A19" s="24" t="s">
        <v>19</v>
      </c>
      <c r="B19" s="3">
        <v>5</v>
      </c>
      <c r="C19" s="6">
        <v>15</v>
      </c>
      <c r="D19" s="6">
        <f t="shared" si="4"/>
        <v>75</v>
      </c>
      <c r="E19" s="6">
        <v>1</v>
      </c>
      <c r="F19" s="6">
        <f>D19*E19</f>
        <v>75</v>
      </c>
      <c r="G19" s="12">
        <v>1</v>
      </c>
      <c r="H19" s="17"/>
      <c r="I19" s="17"/>
      <c r="J19" s="17"/>
      <c r="K19" s="18"/>
      <c r="L19" s="15"/>
      <c r="M19" s="16"/>
    </row>
    <row r="20" spans="1:13" ht="15.95" x14ac:dyDescent="0.3">
      <c r="A20" s="25" t="s">
        <v>29</v>
      </c>
      <c r="B20" s="3">
        <v>6</v>
      </c>
      <c r="C20" s="6">
        <v>22</v>
      </c>
      <c r="D20" s="6">
        <f t="shared" si="4"/>
        <v>132</v>
      </c>
      <c r="E20" s="6">
        <v>1</v>
      </c>
      <c r="F20" s="6">
        <f>D20*E20</f>
        <v>132</v>
      </c>
      <c r="G20" s="12">
        <v>1</v>
      </c>
      <c r="H20" s="17"/>
      <c r="I20" s="17"/>
      <c r="J20" s="17"/>
      <c r="K20" s="18"/>
      <c r="L20" s="15"/>
      <c r="M20" s="16"/>
    </row>
    <row r="21" spans="1:13" ht="15.95" x14ac:dyDescent="0.3">
      <c r="A21" s="26" t="s">
        <v>30</v>
      </c>
      <c r="B21" s="14">
        <v>1</v>
      </c>
      <c r="C21" s="13">
        <v>30</v>
      </c>
      <c r="D21" s="13">
        <f t="shared" si="4"/>
        <v>30</v>
      </c>
      <c r="E21" s="13">
        <v>1</v>
      </c>
      <c r="F21" s="13">
        <f>D21*E21</f>
        <v>30</v>
      </c>
      <c r="G21" s="19">
        <v>1</v>
      </c>
      <c r="H21" s="17"/>
      <c r="I21" s="17"/>
      <c r="J21" s="17"/>
      <c r="K21" s="18"/>
      <c r="L21" s="15"/>
      <c r="M21" s="16"/>
    </row>
    <row r="22" spans="1:13" ht="33.15" customHeight="1" x14ac:dyDescent="0.3">
      <c r="A22" s="28" t="s">
        <v>26</v>
      </c>
      <c r="B22" s="3">
        <v>3</v>
      </c>
      <c r="C22" s="20">
        <v>5</v>
      </c>
      <c r="D22" s="20">
        <f t="shared" ref="D22" si="5">C22*B22</f>
        <v>15</v>
      </c>
      <c r="E22" s="20">
        <v>1</v>
      </c>
      <c r="F22" s="20">
        <f t="shared" ref="F22" si="6">D22*E22</f>
        <v>15</v>
      </c>
      <c r="G22" s="20">
        <v>1</v>
      </c>
      <c r="H22" s="17"/>
      <c r="I22" s="17"/>
      <c r="J22" s="17"/>
      <c r="K22" s="18"/>
      <c r="L22" s="15"/>
      <c r="M22" s="16"/>
    </row>
    <row r="23" spans="1:13" ht="15.95" x14ac:dyDescent="0.3">
      <c r="A23" s="28" t="s">
        <v>33</v>
      </c>
      <c r="B23" s="3">
        <v>8</v>
      </c>
      <c r="C23" s="20">
        <v>6</v>
      </c>
      <c r="D23" s="20">
        <f t="shared" ref="D23" si="7">C23*B23</f>
        <v>48</v>
      </c>
      <c r="E23" s="20">
        <v>1</v>
      </c>
      <c r="F23" s="20">
        <f t="shared" ref="F23" si="8">D23*E23</f>
        <v>48</v>
      </c>
      <c r="G23" s="20">
        <v>1</v>
      </c>
      <c r="H23" s="17"/>
      <c r="I23" s="17"/>
      <c r="J23" s="17"/>
      <c r="K23" s="18"/>
      <c r="L23" s="15"/>
      <c r="M23" s="16"/>
    </row>
  </sheetData>
  <mergeCells count="6">
    <mergeCell ref="I3:I23"/>
    <mergeCell ref="J3:J23"/>
    <mergeCell ref="K3:K23"/>
    <mergeCell ref="H17:H23"/>
    <mergeCell ref="L3:L23"/>
    <mergeCell ref="M3:M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Muhamed Aziz Hamdi</dc:creator>
  <cp:lastModifiedBy>Muhamed Aziz Hamdi</cp:lastModifiedBy>
  <dcterms:created xsi:type="dcterms:W3CDTF">2026-10-05T19:25:00Z</dcterms:created>
  <dcterms:modified xsi:type="dcterms:W3CDTF">2026-10-07T17:01:41Z</dcterms:modified>
</cp:coreProperties>
</file>